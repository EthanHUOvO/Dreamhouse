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6"/>
    </font>
    <font>
      <b val="1"/>
      <color rgb="00FFFFFF"/>
    </font>
    <font>
      <b val="1"/>
      <color rgb="000066CC"/>
    </font>
    <font>
      <color rgb="00000000"/>
    </font>
    <font>
      <color rgb="000066CC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14" customWidth="1" min="4" max="4"/>
    <col width="26" customWidth="1" min="5" max="5"/>
    <col width="8" customWidth="1" min="6" max="6"/>
    <col width="10" customWidth="1" min="7" max="7"/>
    <col width="34" customWidth="1" min="8" max="8"/>
    <col width="18" customWidth="1" min="9" max="9"/>
  </cols>
  <sheetData>
    <row r="2" ht="32" customHeight="1">
      <c r="B2" s="1" t="inlineStr">
        <is>
          <t>装修物料清单（BOM）— 修改方案1（1室1厅2卫1厨）</t>
        </is>
      </c>
    </row>
    <row r="3">
      <c r="B3" s="2" t="inlineStr">
        <is>
          <t>序号</t>
        </is>
      </c>
      <c r="C3" s="2" t="inlineStr">
        <is>
          <t>构件名称</t>
        </is>
      </c>
      <c r="D3" s="2" t="inlineStr">
        <is>
          <t>所属房间/部位</t>
        </is>
      </c>
      <c r="E3" s="2" t="inlineStr">
        <is>
          <t>规格/说明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计算依据</t>
        </is>
      </c>
      <c r="I3" s="2" t="inlineStr">
        <is>
          <t>备注</t>
        </is>
      </c>
    </row>
    <row r="4">
      <c r="B4" s="3" t="inlineStr">
        <is>
          <t>一、墙体工程</t>
        </is>
      </c>
      <c r="C4" s="10" t="n"/>
      <c r="D4" s="10" t="n"/>
      <c r="E4" s="10" t="n"/>
      <c r="F4" s="10" t="n"/>
      <c r="G4" s="10" t="n"/>
      <c r="H4" s="10" t="n"/>
      <c r="I4" s="11" t="n"/>
    </row>
    <row r="5">
      <c r="B5" s="5" t="n">
        <v>1</v>
      </c>
      <c r="C5" s="6" t="inlineStr">
        <is>
          <t>外墙砌体及抹灰</t>
        </is>
      </c>
      <c r="D5" s="6" t="inlineStr">
        <is>
          <t>全屋外围</t>
        </is>
      </c>
      <c r="E5" s="6" t="inlineStr">
        <is>
          <t>层高2.8m，含内外抹灰</t>
        </is>
      </c>
      <c r="F5" s="5" t="inlineStr">
        <is>
          <t>㎡</t>
        </is>
      </c>
      <c r="G5" s="7">
        <f>ROUND(38.32*2.8-18.4,2)</f>
        <v/>
      </c>
      <c r="H5" s="6" t="inlineStr">
        <is>
          <t>外墙周长38.32m×2.8m−门窗洞口约18.4㎡</t>
        </is>
      </c>
      <c r="I5" s="6" t="inlineStr">
        <is>
          <t>外墙轮廓未改动</t>
        </is>
      </c>
    </row>
    <row r="6">
      <c r="B6" s="3" t="inlineStr">
        <is>
          <t>二、地面工程</t>
        </is>
      </c>
      <c r="C6" s="10" t="n"/>
      <c r="D6" s="10" t="n"/>
      <c r="E6" s="10" t="n"/>
      <c r="F6" s="10" t="n"/>
      <c r="G6" s="10" t="n"/>
      <c r="H6" s="10" t="n"/>
      <c r="I6" s="11" t="n"/>
    </row>
    <row r="7">
      <c r="B7" s="5" t="n">
        <v>2</v>
      </c>
      <c r="C7" s="6" t="inlineStr">
        <is>
          <t>强化复合木地板</t>
        </is>
      </c>
      <c r="D7" s="6" t="inlineStr">
        <is>
          <t>卧室</t>
        </is>
      </c>
      <c r="E7" s="6" t="inlineStr">
        <is>
          <t>强化复合木地板 1200×190×12mm</t>
        </is>
      </c>
      <c r="F7" s="5" t="inlineStr">
        <is>
          <t>㎡</t>
        </is>
      </c>
      <c r="G7" s="7">
        <f>ROUND(19.1*1.05,2)</f>
        <v/>
      </c>
      <c r="H7" s="6" t="inlineStr">
        <is>
          <t>标注面积19.1㎡×1.05(含5%损耗)</t>
        </is>
      </c>
      <c r="I7" s="6" t="inlineStr"/>
    </row>
    <row r="8">
      <c r="B8" s="5" t="n">
        <v>3</v>
      </c>
      <c r="C8" s="6" t="inlineStr">
        <is>
          <t>釉面地砖</t>
        </is>
      </c>
      <c r="D8" s="6" t="inlineStr">
        <is>
          <t>客餐厅</t>
        </is>
      </c>
      <c r="E8" s="6" t="inlineStr">
        <is>
          <t>釉面地砖 800×800mm</t>
        </is>
      </c>
      <c r="F8" s="5" t="inlineStr">
        <is>
          <t>㎡</t>
        </is>
      </c>
      <c r="G8" s="7">
        <f>ROUND(27.1*1.05,2)</f>
        <v/>
      </c>
      <c r="H8" s="6" t="inlineStr">
        <is>
          <t>标注面积27.1㎡×1.05(含5%损耗)</t>
        </is>
      </c>
      <c r="I8" s="6" t="inlineStr"/>
    </row>
    <row r="9">
      <c r="B9" s="5" t="n">
        <v>4</v>
      </c>
      <c r="C9" s="6" t="inlineStr">
        <is>
          <t>防滑地砖</t>
        </is>
      </c>
      <c r="D9" s="6" t="inlineStr">
        <is>
          <t>厨房</t>
        </is>
      </c>
      <c r="E9" s="6" t="inlineStr">
        <is>
          <t>防滑地砖 300×300mm</t>
        </is>
      </c>
      <c r="F9" s="5" t="inlineStr">
        <is>
          <t>㎡</t>
        </is>
      </c>
      <c r="G9" s="7">
        <f>ROUND(14.8*1.05,2)</f>
        <v/>
      </c>
      <c r="H9" s="6" t="inlineStr">
        <is>
          <t>标注面积14.8㎡×1.05(含5%损耗)</t>
        </is>
      </c>
      <c r="I9" s="6" t="inlineStr"/>
    </row>
    <row r="10">
      <c r="B10" s="5" t="n">
        <v>5</v>
      </c>
      <c r="C10" s="6" t="inlineStr">
        <is>
          <t>防滑地砖</t>
        </is>
      </c>
      <c r="D10" s="6" t="inlineStr">
        <is>
          <t>卫生间</t>
        </is>
      </c>
      <c r="E10" s="6" t="inlineStr">
        <is>
          <t>防滑地砖 300×300mm</t>
        </is>
      </c>
      <c r="F10" s="5" t="inlineStr">
        <is>
          <t>㎡</t>
        </is>
      </c>
      <c r="G10" s="7">
        <f>ROUND(6.9*1.05,2)</f>
        <v/>
      </c>
      <c r="H10" s="6" t="inlineStr">
        <is>
          <t>标注面积6.9㎡×1.05(含5%损耗)</t>
        </is>
      </c>
      <c r="I10" s="6" t="inlineStr"/>
    </row>
    <row r="11">
      <c r="B11" s="5" t="n">
        <v>6</v>
      </c>
      <c r="C11" s="6" t="inlineStr">
        <is>
          <t>防滑地砖</t>
        </is>
      </c>
      <c r="D11" s="6" t="inlineStr">
        <is>
          <t>卫生间</t>
        </is>
      </c>
      <c r="E11" s="6" t="inlineStr">
        <is>
          <t>防滑地砖 300×300mm</t>
        </is>
      </c>
      <c r="F11" s="5" t="inlineStr">
        <is>
          <t>㎡</t>
        </is>
      </c>
      <c r="G11" s="7">
        <f>ROUND(3.2*1.05,2)</f>
        <v/>
      </c>
      <c r="H11" s="6" t="inlineStr">
        <is>
          <t>标注面积3.2㎡×1.05(含5%损耗)</t>
        </is>
      </c>
      <c r="I11" s="6" t="inlineStr"/>
    </row>
    <row r="12">
      <c r="B12" s="5" t="n">
        <v>7</v>
      </c>
      <c r="C12" s="6" t="inlineStr">
        <is>
          <t>釉面地砖</t>
        </is>
      </c>
      <c r="D12" s="6" t="inlineStr">
        <is>
          <t>阳台</t>
        </is>
      </c>
      <c r="E12" s="6" t="inlineStr">
        <is>
          <t>釉面地砖 800×800mm</t>
        </is>
      </c>
      <c r="F12" s="5" t="inlineStr">
        <is>
          <t>㎡</t>
        </is>
      </c>
      <c r="G12" s="7">
        <f>ROUND(5.6*1.05,2)</f>
        <v/>
      </c>
      <c r="H12" s="6" t="inlineStr">
        <is>
          <t>标注面积5.6㎡×1.05(含5%损耗)</t>
        </is>
      </c>
      <c r="I12" s="6" t="inlineStr"/>
    </row>
    <row r="13">
      <c r="B13" s="3" t="inlineStr">
        <is>
          <t>三、墙面工程</t>
        </is>
      </c>
      <c r="C13" s="10" t="n"/>
      <c r="D13" s="10" t="n"/>
      <c r="E13" s="10" t="n"/>
      <c r="F13" s="10" t="n"/>
      <c r="G13" s="10" t="n"/>
      <c r="H13" s="10" t="n"/>
      <c r="I13" s="11" t="n"/>
    </row>
    <row r="14">
      <c r="B14" s="5" t="n">
        <v>8</v>
      </c>
      <c r="C14" s="6" t="inlineStr">
        <is>
          <t>墙面乳胶漆</t>
        </is>
      </c>
      <c r="D14" s="6" t="inlineStr">
        <is>
          <t>卧室</t>
        </is>
      </c>
      <c r="E14" s="6" t="inlineStr">
        <is>
          <t>两遍腻子+两遍面漆</t>
        </is>
      </c>
      <c r="F14" s="5" t="inlineStr">
        <is>
          <t>㎡</t>
        </is>
      </c>
      <c r="G14" s="7">
        <f>ROUND((17.5*2.8-1*1.8)*1.1,2)</f>
        <v/>
      </c>
      <c r="H14" s="6" t="inlineStr">
        <is>
          <t>(周长17.5m×2.8m−门洞1×1.8㎡)×1.1(含10%损耗)</t>
        </is>
      </c>
      <c r="I14" s="6" t="inlineStr"/>
    </row>
    <row r="15">
      <c r="B15" s="5" t="n">
        <v>9</v>
      </c>
      <c r="C15" s="6" t="inlineStr">
        <is>
          <t>墙面乳胶漆</t>
        </is>
      </c>
      <c r="D15" s="6" t="inlineStr">
        <is>
          <t>客餐厅</t>
        </is>
      </c>
      <c r="E15" s="6" t="inlineStr">
        <is>
          <t>两遍腻子+两遍面漆</t>
        </is>
      </c>
      <c r="F15" s="5" t="inlineStr">
        <is>
          <t>㎡</t>
        </is>
      </c>
      <c r="G15" s="7">
        <f>ROUND((26.8*2.8-4*1.8)*1.1,2)</f>
        <v/>
      </c>
      <c r="H15" s="6" t="inlineStr">
        <is>
          <t>(周长26.8m×2.8m−门洞4×1.8㎡)×1.1(含10%损耗)</t>
        </is>
      </c>
      <c r="I15" s="6" t="inlineStr">
        <is>
          <t>周长按外圈尺寸线估算(L形)</t>
        </is>
      </c>
    </row>
    <row r="16">
      <c r="B16" s="5" t="n">
        <v>10</v>
      </c>
      <c r="C16" s="6" t="inlineStr">
        <is>
          <t>墙面瓷砖</t>
        </is>
      </c>
      <c r="D16" s="6" t="inlineStr">
        <is>
          <t>厨房</t>
        </is>
      </c>
      <c r="E16" s="6" t="inlineStr">
        <is>
          <t>釉面墙砖 300×600mm,铺贴高2.4m</t>
        </is>
      </c>
      <c r="F16" s="5" t="inlineStr">
        <is>
          <t>㎡</t>
        </is>
      </c>
      <c r="G16" s="7">
        <f>ROUND((16.59*2.4-1*1.8)*1.08,2)</f>
        <v/>
      </c>
      <c r="H16" s="6" t="inlineStr">
        <is>
          <t>(周长16.59m×2.4m−门洞1×1.8㎡)×1.08(含8%损耗)</t>
        </is>
      </c>
      <c r="I16" s="6" t="inlineStr"/>
    </row>
    <row r="17">
      <c r="B17" s="5" t="n">
        <v>11</v>
      </c>
      <c r="C17" s="6" t="inlineStr">
        <is>
          <t>墙面瓷砖</t>
        </is>
      </c>
      <c r="D17" s="6" t="inlineStr">
        <is>
          <t>卫生间</t>
        </is>
      </c>
      <c r="E17" s="6" t="inlineStr">
        <is>
          <t>釉面墙砖 300×600mm,铺贴高2.4m</t>
        </is>
      </c>
      <c r="F17" s="5" t="inlineStr">
        <is>
          <t>㎡</t>
        </is>
      </c>
      <c r="G17" s="7">
        <f>ROUND((10.47*2.4-1*1.8)*1.08,2)</f>
        <v/>
      </c>
      <c r="H17" s="6" t="inlineStr">
        <is>
          <t>(周长10.47m×2.4m−门洞1×1.8㎡)×1.08(含8%损耗)</t>
        </is>
      </c>
      <c r="I17" s="6" t="inlineStr"/>
    </row>
    <row r="18">
      <c r="B18" s="5" t="n">
        <v>12</v>
      </c>
      <c r="C18" s="6" t="inlineStr">
        <is>
          <t>墙面瓷砖</t>
        </is>
      </c>
      <c r="D18" s="6" t="inlineStr">
        <is>
          <t>卫生间</t>
        </is>
      </c>
      <c r="E18" s="6" t="inlineStr">
        <is>
          <t>釉面墙砖 300×600mm,铺贴高2.4m</t>
        </is>
      </c>
      <c r="F18" s="5" t="inlineStr">
        <is>
          <t>㎡</t>
        </is>
      </c>
      <c r="G18" s="7">
        <f>ROUND((7.66*2.4-1*1.8)*1.08,2)</f>
        <v/>
      </c>
      <c r="H18" s="6" t="inlineStr">
        <is>
          <t>(周长7.66m×2.4m−门洞1×1.8㎡)×1.08(含8%损耗)</t>
        </is>
      </c>
      <c r="I18" s="6" t="inlineStr"/>
    </row>
    <row r="19">
      <c r="B19" s="5" t="n">
        <v>13</v>
      </c>
      <c r="C19" s="6" t="inlineStr">
        <is>
          <t>墙面乳胶漆</t>
        </is>
      </c>
      <c r="D19" s="6" t="inlineStr">
        <is>
          <t>阳台</t>
        </is>
      </c>
      <c r="E19" s="6" t="inlineStr">
        <is>
          <t>两遍腻子+两遍面漆</t>
        </is>
      </c>
      <c r="F19" s="5" t="inlineStr">
        <is>
          <t>㎡</t>
        </is>
      </c>
      <c r="G19" s="7">
        <f>ROUND((11.44*2.8-0*1.8)*1.1,2)</f>
        <v/>
      </c>
      <c r="H19" s="6" t="inlineStr">
        <is>
          <t>(周长11.44m×2.8m−门洞0×1.8㎡)×1.1(含10%损耗)</t>
        </is>
      </c>
      <c r="I19" s="6" t="inlineStr"/>
    </row>
    <row r="20">
      <c r="B20" s="3" t="inlineStr">
        <is>
          <t>四、门窗工程</t>
        </is>
      </c>
      <c r="C20" s="10" t="n"/>
      <c r="D20" s="10" t="n"/>
      <c r="E20" s="10" t="n"/>
      <c r="F20" s="10" t="n"/>
      <c r="G20" s="10" t="n"/>
      <c r="H20" s="10" t="n"/>
      <c r="I20" s="11" t="n"/>
    </row>
    <row r="21">
      <c r="B21" s="5" t="n">
        <v>14</v>
      </c>
      <c r="C21" s="6" t="inlineStr">
        <is>
          <t>实木复合卧室门</t>
        </is>
      </c>
      <c r="D21" s="6" t="inlineStr">
        <is>
          <t>见图示位置</t>
        </is>
      </c>
      <c r="E21" s="6" t="inlineStr">
        <is>
          <t>0.9×2.0m</t>
        </is>
      </c>
      <c r="F21" s="5" t="inlineStr">
        <is>
          <t>樘</t>
        </is>
      </c>
      <c r="G21" s="8" t="n">
        <v>1</v>
      </c>
      <c r="H21" s="6" t="inlineStr">
        <is>
          <t>按户型图门洞数量统计</t>
        </is>
      </c>
      <c r="I21" s="6" t="inlineStr"/>
    </row>
    <row r="22">
      <c r="B22" s="5" t="n">
        <v>15</v>
      </c>
      <c r="C22" s="6" t="inlineStr">
        <is>
          <t>卫生间门(防潮)</t>
        </is>
      </c>
      <c r="D22" s="6" t="inlineStr">
        <is>
          <t>见图示位置</t>
        </is>
      </c>
      <c r="E22" s="6" t="inlineStr">
        <is>
          <t>0.9×2.0m</t>
        </is>
      </c>
      <c r="F22" s="5" t="inlineStr">
        <is>
          <t>樘</t>
        </is>
      </c>
      <c r="G22" s="8" t="n">
        <v>2</v>
      </c>
      <c r="H22" s="6" t="inlineStr">
        <is>
          <t>按户型图门洞数量统计</t>
        </is>
      </c>
      <c r="I22" s="6" t="inlineStr"/>
    </row>
    <row r="23">
      <c r="B23" s="5" t="n">
        <v>16</v>
      </c>
      <c r="C23" s="6" t="inlineStr">
        <is>
          <t>厨房推拉门</t>
        </is>
      </c>
      <c r="D23" s="6" t="inlineStr">
        <is>
          <t>见图示位置</t>
        </is>
      </c>
      <c r="E23" s="6" t="inlineStr">
        <is>
          <t>0.9×2.0m</t>
        </is>
      </c>
      <c r="F23" s="5" t="inlineStr">
        <is>
          <t>樘</t>
        </is>
      </c>
      <c r="G23" s="8" t="n">
        <v>1</v>
      </c>
      <c r="H23" s="6" t="inlineStr">
        <is>
          <t>按户型图门洞数量统计</t>
        </is>
      </c>
      <c r="I23" s="6" t="inlineStr"/>
    </row>
    <row r="24">
      <c r="B24" s="5" t="n">
        <v>17</v>
      </c>
      <c r="C24" s="6" t="inlineStr">
        <is>
          <t>入户防盗门</t>
        </is>
      </c>
      <c r="D24" s="6" t="inlineStr">
        <is>
          <t>见图示位置</t>
        </is>
      </c>
      <c r="E24" s="6" t="inlineStr">
        <is>
          <t>1.0×2.1m</t>
        </is>
      </c>
      <c r="F24" s="5" t="inlineStr">
        <is>
          <t>樘</t>
        </is>
      </c>
      <c r="G24" s="8" t="n">
        <v>1</v>
      </c>
      <c r="H24" s="6" t="inlineStr">
        <is>
          <t>按户型图门洞数量统计</t>
        </is>
      </c>
      <c r="I24" s="6" t="inlineStr"/>
    </row>
    <row r="25">
      <c r="B25" s="5" t="n">
        <v>18</v>
      </c>
      <c r="C25" s="6" t="inlineStr">
        <is>
          <t>阳台落地窗</t>
        </is>
      </c>
      <c r="D25" s="6" t="inlineStr">
        <is>
          <t>外墙</t>
        </is>
      </c>
      <c r="E25" s="6" t="inlineStr">
        <is>
          <t>铝合金中空玻璃</t>
        </is>
      </c>
      <c r="F25" s="5" t="inlineStr">
        <is>
          <t>樘</t>
        </is>
      </c>
      <c r="G25" s="8" t="n">
        <v>1</v>
      </c>
      <c r="H25" s="6" t="inlineStr">
        <is>
          <t>按户型图外窗位置统计</t>
        </is>
      </c>
      <c r="I25" s="6" t="inlineStr">
        <is>
          <t>外窗位置未改动</t>
        </is>
      </c>
    </row>
    <row r="26">
      <c r="B26" s="5" t="n">
        <v>19</v>
      </c>
      <c r="C26" s="6" t="inlineStr">
        <is>
          <t>厨房窗</t>
        </is>
      </c>
      <c r="D26" s="6" t="inlineStr">
        <is>
          <t>外墙</t>
        </is>
      </c>
      <c r="E26" s="6" t="inlineStr">
        <is>
          <t>铝合金中空玻璃</t>
        </is>
      </c>
      <c r="F26" s="5" t="inlineStr">
        <is>
          <t>樘</t>
        </is>
      </c>
      <c r="G26" s="8" t="n">
        <v>1</v>
      </c>
      <c r="H26" s="6" t="inlineStr">
        <is>
          <t>按户型图外窗位置统计</t>
        </is>
      </c>
      <c r="I26" s="6" t="inlineStr">
        <is>
          <t>外窗位置未改动</t>
        </is>
      </c>
    </row>
    <row r="27">
      <c r="B27" s="5" t="n">
        <v>20</v>
      </c>
      <c r="C27" s="6" t="inlineStr">
        <is>
          <t>卫生间窗</t>
        </is>
      </c>
      <c r="D27" s="6" t="inlineStr">
        <is>
          <t>外墙</t>
        </is>
      </c>
      <c r="E27" s="6" t="inlineStr">
        <is>
          <t>铝合金中空玻璃</t>
        </is>
      </c>
      <c r="F27" s="5" t="inlineStr">
        <is>
          <t>樘</t>
        </is>
      </c>
      <c r="G27" s="8" t="n">
        <v>1</v>
      </c>
      <c r="H27" s="6" t="inlineStr">
        <is>
          <t>按户型图外窗位置统计</t>
        </is>
      </c>
      <c r="I27" s="6" t="inlineStr">
        <is>
          <t>外窗位置未改动</t>
        </is>
      </c>
    </row>
    <row r="28">
      <c r="B28" s="5" t="n">
        <v>21</v>
      </c>
      <c r="C28" s="6" t="inlineStr">
        <is>
          <t>改造卫生间窗(原储物间)</t>
        </is>
      </c>
      <c r="D28" s="6" t="inlineStr">
        <is>
          <t>外墙</t>
        </is>
      </c>
      <c r="E28" s="6" t="inlineStr">
        <is>
          <t>铝合金中空玻璃</t>
        </is>
      </c>
      <c r="F28" s="5" t="inlineStr">
        <is>
          <t>樘</t>
        </is>
      </c>
      <c r="G28" s="8" t="n">
        <v>1</v>
      </c>
      <c r="H28" s="6" t="inlineStr">
        <is>
          <t>按户型图外窗位置统计</t>
        </is>
      </c>
      <c r="I28" s="6" t="inlineStr">
        <is>
          <t>外窗位置未改动</t>
        </is>
      </c>
    </row>
    <row r="29">
      <c r="B29" s="3" t="inlineStr">
        <is>
          <t>五、卫浴</t>
        </is>
      </c>
      <c r="C29" s="10" t="n"/>
      <c r="D29" s="10" t="n"/>
      <c r="E29" s="10" t="n"/>
      <c r="F29" s="10" t="n"/>
      <c r="G29" s="10" t="n"/>
      <c r="H29" s="10" t="n"/>
      <c r="I29" s="11" t="n"/>
    </row>
    <row r="30">
      <c r="B30" s="5" t="n">
        <v>22</v>
      </c>
      <c r="C30" s="6" t="inlineStr">
        <is>
          <t>坐便器</t>
        </is>
      </c>
      <c r="D30" s="6" t="inlineStr">
        <is>
          <t>卫生间</t>
        </is>
      </c>
      <c r="E30" s="6" t="inlineStr">
        <is>
          <t>连体虹吸式</t>
        </is>
      </c>
      <c r="F30" s="5" t="inlineStr">
        <is>
          <t>套</t>
        </is>
      </c>
      <c r="G30" s="8" t="n">
        <v>1</v>
      </c>
      <c r="H30" s="6" t="inlineStr">
        <is>
          <t>卫生间配置1套</t>
        </is>
      </c>
      <c r="I30" s="6" t="inlineStr"/>
    </row>
    <row r="31">
      <c r="B31" s="5" t="n">
        <v>23</v>
      </c>
      <c r="C31" s="6" t="inlineStr">
        <is>
          <t>洗手台盆</t>
        </is>
      </c>
      <c r="D31" s="6" t="inlineStr">
        <is>
          <t>卫生间</t>
        </is>
      </c>
      <c r="E31" s="6" t="inlineStr">
        <is>
          <t>台下盆+浴室柜</t>
        </is>
      </c>
      <c r="F31" s="5" t="inlineStr">
        <is>
          <t>套</t>
        </is>
      </c>
      <c r="G31" s="8" t="n">
        <v>1</v>
      </c>
      <c r="H31" s="6" t="inlineStr">
        <is>
          <t>卫生间配置1套</t>
        </is>
      </c>
      <c r="I31" s="6" t="inlineStr"/>
    </row>
    <row r="32">
      <c r="B32" s="5" t="n">
        <v>24</v>
      </c>
      <c r="C32" s="6" t="inlineStr">
        <is>
          <t>淋浴花洒</t>
        </is>
      </c>
      <c r="D32" s="6" t="inlineStr">
        <is>
          <t>卫生间</t>
        </is>
      </c>
      <c r="E32" s="6" t="inlineStr">
        <is>
          <t>恒温花洒套装</t>
        </is>
      </c>
      <c r="F32" s="5" t="inlineStr">
        <is>
          <t>套</t>
        </is>
      </c>
      <c r="G32" s="8" t="n">
        <v>1</v>
      </c>
      <c r="H32" s="6" t="inlineStr">
        <is>
          <t>卫生间配置1套</t>
        </is>
      </c>
      <c r="I32" s="6" t="inlineStr"/>
    </row>
    <row r="33">
      <c r="B33" s="5" t="n">
        <v>25</v>
      </c>
      <c r="C33" s="6" t="inlineStr">
        <is>
          <t>地漏</t>
        </is>
      </c>
      <c r="D33" s="6" t="inlineStr">
        <is>
          <t>卫生间</t>
        </is>
      </c>
      <c r="E33" s="6" t="inlineStr">
        <is>
          <t>防臭地漏</t>
        </is>
      </c>
      <c r="F33" s="5" t="inlineStr">
        <is>
          <t>个</t>
        </is>
      </c>
      <c r="G33" s="8" t="n">
        <v>2</v>
      </c>
      <c r="H33" s="6" t="inlineStr">
        <is>
          <t>卫生间配置2个</t>
        </is>
      </c>
      <c r="I33" s="6" t="inlineStr"/>
    </row>
    <row r="34">
      <c r="B34" s="5" t="n">
        <v>26</v>
      </c>
      <c r="C34" s="6" t="inlineStr">
        <is>
          <t>坐便器</t>
        </is>
      </c>
      <c r="D34" s="6" t="inlineStr">
        <is>
          <t>卫生间</t>
        </is>
      </c>
      <c r="E34" s="6" t="inlineStr">
        <is>
          <t>连体虹吸式</t>
        </is>
      </c>
      <c r="F34" s="5" t="inlineStr">
        <is>
          <t>套</t>
        </is>
      </c>
      <c r="G34" s="8" t="n">
        <v>1</v>
      </c>
      <c r="H34" s="6" t="inlineStr">
        <is>
          <t>卫生间配置1套</t>
        </is>
      </c>
      <c r="I34" s="6" t="inlineStr"/>
    </row>
    <row r="35">
      <c r="B35" s="5" t="n">
        <v>27</v>
      </c>
      <c r="C35" s="6" t="inlineStr">
        <is>
          <t>洗手台盆</t>
        </is>
      </c>
      <c r="D35" s="6" t="inlineStr">
        <is>
          <t>卫生间</t>
        </is>
      </c>
      <c r="E35" s="6" t="inlineStr">
        <is>
          <t>台下盆+浴室柜</t>
        </is>
      </c>
      <c r="F35" s="5" t="inlineStr">
        <is>
          <t>套</t>
        </is>
      </c>
      <c r="G35" s="8" t="n">
        <v>1</v>
      </c>
      <c r="H35" s="6" t="inlineStr">
        <is>
          <t>卫生间配置1套</t>
        </is>
      </c>
      <c r="I35" s="6" t="inlineStr"/>
    </row>
    <row r="36">
      <c r="B36" s="5" t="n">
        <v>28</v>
      </c>
      <c r="C36" s="6" t="inlineStr">
        <is>
          <t>淋浴花洒</t>
        </is>
      </c>
      <c r="D36" s="6" t="inlineStr">
        <is>
          <t>卫生间</t>
        </is>
      </c>
      <c r="E36" s="6" t="inlineStr">
        <is>
          <t>恒温花洒套装</t>
        </is>
      </c>
      <c r="F36" s="5" t="inlineStr">
        <is>
          <t>套</t>
        </is>
      </c>
      <c r="G36" s="8" t="n">
        <v>1</v>
      </c>
      <c r="H36" s="6" t="inlineStr">
        <is>
          <t>卫生间配置1套</t>
        </is>
      </c>
      <c r="I36" s="6" t="inlineStr"/>
    </row>
    <row r="37">
      <c r="B37" s="5" t="n">
        <v>29</v>
      </c>
      <c r="C37" s="6" t="inlineStr">
        <is>
          <t>地漏</t>
        </is>
      </c>
      <c r="D37" s="6" t="inlineStr">
        <is>
          <t>卫生间</t>
        </is>
      </c>
      <c r="E37" s="6" t="inlineStr">
        <is>
          <t>防臭地漏</t>
        </is>
      </c>
      <c r="F37" s="5" t="inlineStr">
        <is>
          <t>个</t>
        </is>
      </c>
      <c r="G37" s="8" t="n">
        <v>2</v>
      </c>
      <c r="H37" s="6" t="inlineStr">
        <is>
          <t>卫生间配置2个</t>
        </is>
      </c>
      <c r="I37" s="6" t="inlineStr"/>
    </row>
    <row r="38">
      <c r="B38" s="3" t="inlineStr">
        <is>
          <t>六、厨房</t>
        </is>
      </c>
      <c r="C38" s="10" t="n"/>
      <c r="D38" s="10" t="n"/>
      <c r="E38" s="10" t="n"/>
      <c r="F38" s="10" t="n"/>
      <c r="G38" s="10" t="n"/>
      <c r="H38" s="10" t="n"/>
      <c r="I38" s="11" t="n"/>
    </row>
    <row r="39">
      <c r="B39" s="5" t="n">
        <v>30</v>
      </c>
      <c r="C39" s="6" t="inlineStr">
        <is>
          <t>整体橱柜</t>
        </is>
      </c>
      <c r="D39" s="6" t="inlineStr">
        <is>
          <t>厨房</t>
        </is>
      </c>
      <c r="E39" s="6" t="inlineStr">
        <is>
          <t>地柜+吊柜,石英石台面</t>
        </is>
      </c>
      <c r="F39" s="5" t="inlineStr">
        <is>
          <t>延米</t>
        </is>
      </c>
      <c r="G39" s="8" t="n">
        <v>3.5</v>
      </c>
      <c r="H39" s="6" t="inlineStr">
        <is>
          <t>按厨房墙面长度估算约3.5延米</t>
        </is>
      </c>
      <c r="I39" s="6" t="inlineStr"/>
    </row>
    <row r="40">
      <c r="B40" s="5" t="n">
        <v>31</v>
      </c>
      <c r="C40" s="6" t="inlineStr">
        <is>
          <t>洗菜盆及龙头</t>
        </is>
      </c>
      <c r="D40" s="6" t="inlineStr">
        <is>
          <t>厨房</t>
        </is>
      </c>
      <c r="E40" s="6" t="inlineStr">
        <is>
          <t>不锈钢双槽</t>
        </is>
      </c>
      <c r="F40" s="5" t="inlineStr">
        <is>
          <t>套</t>
        </is>
      </c>
      <c r="G40" s="8" t="n">
        <v>1</v>
      </c>
      <c r="H40" s="6" t="inlineStr">
        <is>
          <t>厨房配置1套</t>
        </is>
      </c>
      <c r="I40" s="6" t="inlineStr"/>
    </row>
    <row r="41">
      <c r="B41" s="3" t="inlineStr">
        <is>
          <t>七、其他</t>
        </is>
      </c>
      <c r="C41" s="10" t="n"/>
      <c r="D41" s="10" t="n"/>
      <c r="E41" s="10" t="n"/>
      <c r="F41" s="10" t="n"/>
      <c r="G41" s="10" t="n"/>
      <c r="H41" s="10" t="n"/>
      <c r="I41" s="11" t="n"/>
    </row>
    <row r="42">
      <c r="B42" s="5" t="n">
        <v>32</v>
      </c>
      <c r="C42" s="6" t="inlineStr">
        <is>
          <t>踢脚线</t>
        </is>
      </c>
      <c r="D42" s="6" t="inlineStr">
        <is>
          <t>卧室</t>
        </is>
      </c>
      <c r="E42" s="6" t="inlineStr">
        <is>
          <t>PVC/木质踢脚线 高80mm</t>
        </is>
      </c>
      <c r="F42" s="5" t="inlineStr">
        <is>
          <t>m</t>
        </is>
      </c>
      <c r="G42" s="7">
        <f>ROUND(17.5-1*0.9,2)</f>
        <v/>
      </c>
      <c r="H42" s="6" t="inlineStr">
        <is>
          <t>周长17.5m−门洞1×0.9m</t>
        </is>
      </c>
      <c r="I42" s="6" t="inlineStr"/>
    </row>
    <row r="43">
      <c r="B43" s="5" t="n">
        <v>33</v>
      </c>
      <c r="C43" s="6" t="inlineStr">
        <is>
          <t>踢脚线</t>
        </is>
      </c>
      <c r="D43" s="6" t="inlineStr">
        <is>
          <t>客餐厅</t>
        </is>
      </c>
      <c r="E43" s="6" t="inlineStr">
        <is>
          <t>PVC/木质踢脚线 高80mm</t>
        </is>
      </c>
      <c r="F43" s="5" t="inlineStr">
        <is>
          <t>m</t>
        </is>
      </c>
      <c r="G43" s="7">
        <f>ROUND(26.8-4*0.9,2)</f>
        <v/>
      </c>
      <c r="H43" s="6" t="inlineStr">
        <is>
          <t>周长26.8m−门洞4×0.9m</t>
        </is>
      </c>
      <c r="I43" s="6" t="inlineStr">
        <is>
          <t>周长按外圈尺寸线估算(L形)</t>
        </is>
      </c>
    </row>
    <row r="44">
      <c r="B44" s="5" t="n">
        <v>34</v>
      </c>
      <c r="C44" s="6" t="inlineStr">
        <is>
          <t>踢脚线</t>
        </is>
      </c>
      <c r="D44" s="6" t="inlineStr">
        <is>
          <t>厨房</t>
        </is>
      </c>
      <c r="E44" s="6" t="inlineStr">
        <is>
          <t>PVC/木质踢脚线 高80mm</t>
        </is>
      </c>
      <c r="F44" s="5" t="inlineStr">
        <is>
          <t>m</t>
        </is>
      </c>
      <c r="G44" s="7">
        <f>ROUND(16.59-1*0.9,2)</f>
        <v/>
      </c>
      <c r="H44" s="6" t="inlineStr">
        <is>
          <t>周长16.59m−门洞1×0.9m</t>
        </is>
      </c>
      <c r="I44" s="6" t="inlineStr"/>
    </row>
    <row r="45">
      <c r="B45" s="5" t="n">
        <v>35</v>
      </c>
      <c r="C45" s="6" t="inlineStr">
        <is>
          <t>踢脚线</t>
        </is>
      </c>
      <c r="D45" s="6" t="inlineStr">
        <is>
          <t>卫生间</t>
        </is>
      </c>
      <c r="E45" s="6" t="inlineStr">
        <is>
          <t>PVC/木质踢脚线 高80mm</t>
        </is>
      </c>
      <c r="F45" s="5" t="inlineStr">
        <is>
          <t>m</t>
        </is>
      </c>
      <c r="G45" s="7">
        <f>ROUND(10.47-1*0.9,2)</f>
        <v/>
      </c>
      <c r="H45" s="6" t="inlineStr">
        <is>
          <t>周长10.47m−门洞1×0.9m</t>
        </is>
      </c>
      <c r="I45" s="6" t="inlineStr"/>
    </row>
    <row r="46">
      <c r="B46" s="5" t="n">
        <v>36</v>
      </c>
      <c r="C46" s="6" t="inlineStr">
        <is>
          <t>踢脚线</t>
        </is>
      </c>
      <c r="D46" s="6" t="inlineStr">
        <is>
          <t>卫生间</t>
        </is>
      </c>
      <c r="E46" s="6" t="inlineStr">
        <is>
          <t>PVC/木质踢脚线 高80mm</t>
        </is>
      </c>
      <c r="F46" s="5" t="inlineStr">
        <is>
          <t>m</t>
        </is>
      </c>
      <c r="G46" s="7">
        <f>ROUND(7.66-1*0.9,2)</f>
        <v/>
      </c>
      <c r="H46" s="6" t="inlineStr">
        <is>
          <t>周长7.66m−门洞1×0.9m</t>
        </is>
      </c>
      <c r="I46" s="6" t="inlineStr"/>
    </row>
    <row r="47">
      <c r="B47" s="5" t="n">
        <v>37</v>
      </c>
      <c r="C47" s="6" t="inlineStr">
        <is>
          <t>踢脚线</t>
        </is>
      </c>
      <c r="D47" s="6" t="inlineStr">
        <is>
          <t>阳台</t>
        </is>
      </c>
      <c r="E47" s="6" t="inlineStr">
        <is>
          <t>PVC/木质踢脚线 高80mm</t>
        </is>
      </c>
      <c r="F47" s="5" t="inlineStr">
        <is>
          <t>m</t>
        </is>
      </c>
      <c r="G47" s="7">
        <f>ROUND(11.44-0*0.9,2)</f>
        <v/>
      </c>
      <c r="H47" s="6" t="inlineStr">
        <is>
          <t>周长11.44m−门洞0×0.9m</t>
        </is>
      </c>
      <c r="I47" s="6" t="inlineStr"/>
    </row>
    <row r="48">
      <c r="B48" s="5" t="n">
        <v>38</v>
      </c>
      <c r="C48" s="6" t="inlineStr">
        <is>
          <t>开关插座面板</t>
        </is>
      </c>
      <c r="D48" s="6" t="inlineStr">
        <is>
          <t>全屋</t>
        </is>
      </c>
      <c r="E48" s="6" t="inlineStr">
        <is>
          <t>五孔/单开/防溅盒</t>
        </is>
      </c>
      <c r="F48" s="5" t="inlineStr">
        <is>
          <t>个</t>
        </is>
      </c>
      <c r="G48" s="8" t="n">
        <v>16</v>
      </c>
      <c r="H48" s="6" t="inlineStr">
        <is>
          <t>按房间功能配置:卧室3、客餐厅4、厨房4、卫生间各2、阳台等1</t>
        </is>
      </c>
      <c r="I48" s="6" t="inlineStr"/>
    </row>
    <row r="49">
      <c r="B49" s="9" t="inlineStr">
        <is>
          <t>—</t>
        </is>
      </c>
      <c r="C49" s="9" t="inlineStr">
        <is>
          <t>合计</t>
        </is>
      </c>
      <c r="D49" s="9" t="inlineStr">
        <is>
          <t>全屋</t>
        </is>
      </c>
      <c r="E49" s="9" t="inlineStr">
        <is>
          <t>—</t>
        </is>
      </c>
      <c r="F49" s="9" t="inlineStr">
        <is>
          <t>—</t>
        </is>
      </c>
      <c r="G49" s="9" t="inlineStr">
        <is>
          <t>—</t>
        </is>
      </c>
      <c r="H49" s="9" t="inlineStr">
        <is>
          <t>各单位数量见明细行,单位不同不合计</t>
        </is>
      </c>
      <c r="I49" s="9" t="inlineStr">
        <is>
          <t>—</t>
        </is>
      </c>
    </row>
  </sheetData>
  <mergeCells count="8">
    <mergeCell ref="B13:I13"/>
    <mergeCell ref="B29:I29"/>
    <mergeCell ref="B6:I6"/>
    <mergeCell ref="B38:I38"/>
    <mergeCell ref="B2:I2"/>
    <mergeCell ref="B20:I20"/>
    <mergeCell ref="B41:I41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2026-08-30T14:35:07Z</dcterms:created>
  <dcterms:modified xmlns:dcterms="http://purl.org/dc/terms/" xmlns:xsi="http://www.w3.org/2001/XMLSchema-instance" xsi:type="dcterms:W3CDTF">2026-08-30T14:35:17Z</dcterms:modified>
</cp:coreProperties>
</file>